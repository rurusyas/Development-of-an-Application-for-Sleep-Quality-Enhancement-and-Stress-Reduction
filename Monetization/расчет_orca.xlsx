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19cb2d7d9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f94b0ddf2594442"/>
    <x:sheet xmlns:r="http://schemas.openxmlformats.org/officeDocument/2006/relationships" name="Forecast" sheetId="2" r:id="R9875415c792a46eb"/>
    <x:sheet xmlns:r="http://schemas.openxmlformats.org/officeDocument/2006/relationships" name="Unit Economics" sheetId="3" r:id="R36c4ab254852412f"/>
    <x:sheet xmlns:r="http://schemas.openxmlformats.org/officeDocument/2006/relationships" name="Summary" sheetId="4" r:id="Rac01e0a8dcc14a71"/>
    <x:sheet xmlns:r="http://schemas.openxmlformats.org/officeDocument/2006/relationships" name="Sources" sheetId="5" r:id="Rd0485d12a1db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"/>
    <x:numFmt numFmtId="202" formatCode="#,##0"/>
    <x:numFmt numFmtId="203" formatCode="#,##0.0;[Red](#,##0.0);-"/>
    <x:numFmt numFmtId="204" formatCode="0.0x"/>
  </x:numFmts>
  <x:fonts count="4">
    <x:font>
      <x:sz val="11"/>
      <x:name val="Carlito"/>
    </x:font>
    <x:font>
      <x:sz val="10"/>
      <x:name val="Arial"/>
    </x:font>
    <x:font>
      <x:b/>
      <x:sz val="12"/>
      <x:color rgb="FFFFFF"/>
      <x:name val="Arial"/>
    </x:font>
    <x:font>
      <x:b/>
      <x:sz val="10"/>
      <x:color rgb="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082F49"/>
      </x:patternFill>
    </x:fill>
    <x:fill>
      <x:patternFill patternType="solid">
        <x:fgColor rgb="0B1B2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</x:cellXfs>
  <x:cellStyles count="1">
    <x:cellStyle name="Normal" xfId="0"/>
  </x:cellStyles>
  <x:dxfs count="2">
    <x:dxf>
      <x:font>
        <x:color rgb="DC2626"/>
      </x:font>
    </x:dxf>
    <x:dxf>
      <x:font>
        <x:color rgb="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327abfa174749" /><Relationship Type="http://schemas.openxmlformats.org/officeDocument/2006/relationships/theme" Target="/xl/theme/theme1.xml" Id="R209cd4c301ce4658" /><Relationship Type="http://schemas.openxmlformats.org/officeDocument/2006/relationships/sharedStrings" Target="/xl/sharedStrings.xml" Id="Rb496403548b94445" /><Relationship Type="http://schemas.openxmlformats.org/officeDocument/2006/relationships/worksheet" Target="/xl/worksheets/sheet1.xml" Id="R8f94b0ddf2594442" /><Relationship Type="http://schemas.openxmlformats.org/officeDocument/2006/relationships/worksheet" Target="/xl/worksheets/sheet2.xml" Id="R9875415c792a46eb" /><Relationship Type="http://schemas.openxmlformats.org/officeDocument/2006/relationships/worksheet" Target="/xl/worksheets/sheet3.xml" Id="R36c4ab254852412f" /><Relationship Type="http://schemas.openxmlformats.org/officeDocument/2006/relationships/worksheet" Target="/xl/worksheets/sheet4.xml" Id="Rac01e0a8dcc14a71" /><Relationship Type="http://schemas.openxmlformats.org/officeDocument/2006/relationships/worksheet" Target="/xl/worksheets/sheet5.xml" Id="Rd0485d12a1db4d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a9cf07e10b46cd" /><Relationship Type="http://schemas.openxmlformats.org/officeDocument/2006/relationships/chart" Target="/xl/drawings/charts/chart2.xml" Id="Rbcd3ab307ead44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Выручка и прибыль по месяцам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MAU и платящие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a9cf07e10b46cd"/>
        </a:graphicData>
      </a:graphic>
    </xdr:graphicFrame>
    <xdr:clientData/>
  </xdr:twoCellAnchor>
  <xdr:twoCellAnchor>
    <xdr:from>
      <xdr:col>17</xdr:col>
      <xdr:colOff>0</xdr:colOff>
      <xdr:row>19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d3ab307ead44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caForecast" displayName="OrcaForecast" ref="A1:P13" headerRowCount="1">
  <x:tableColumns count="16">
    <x:tableColumn id="1" name="Месяц"/>
    <x:tableColumn id="2" name="Маркетинг, ₽"/>
    <x:tableColumn id="3" name="CAC, ₽"/>
    <x:tableColumn id="4" name="Новые регистрации"/>
    <x:tableColumn id="5" name="MAU"/>
    <x:tableColumn id="6" name="Конверсия в платящих"/>
    <x:tableColumn id="7" name="Платящие"/>
    <x:tableColumn id="8" name="Blended ARPPU, ₽"/>
    <x:tableColumn id="9" name="B2C gross, ₽"/>
    <x:tableColumn id="10" name="Store fee, ₽"/>
    <x:tableColumn id="11" name="B2C net, ₽"/>
    <x:tableColumn id="12" name="B2B, ₽"/>
    <x:tableColumn id="13" name="Итого выручка, ₽"/>
    <x:tableColumn id="14" name="Серверы, ₽"/>
    <x:tableColumn id="15" name="Фикс., ₽"/>
    <x:tableColumn id="16" name="Прибыль, ₽"/>
  </x:tableColumns>
  <x:tableStyleInfo name="TableStyleMedium2" showRowStripes="1"/>
</x:table>
</file>

<file path=xl/tables/table2.xml><?xml version="1.0" encoding="utf-8"?>
<x:table xmlns:x="http://schemas.openxmlformats.org/spreadsheetml/2006/main" id="2" name="OrcaUnitEconomics" displayName="OrcaUnitEconomics" ref="A2:C18" headerRowCount="1">
  <x:tableColumns count="3">
    <x:tableColumn id="1" name="Метрика"/>
    <x:tableColumn id="2" name="Формула / значение"/>
    <x:tableColumn id="3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OrcaSummary" displayName="OrcaSummary" ref="A2:B11" headerRowCount="1">
  <x:tableColumns count="2">
    <x:tableColumn id="1" name="Показатель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4590c2deac94ab4" /><Relationship Type="http://schemas.openxmlformats.org/officeDocument/2006/relationships/table" Target="/xl/tables/table1.xml" Id="R339ae820a2e044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a126d7e4c040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6a8435200b47fb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42" hidden="0" customWidth="1"/>
  </x:cols>
  <x:sheetData>
    <x:row r="1">
      <x:c r="A1" s="6" t="str">
        <x:v>ORCA — ключевые предпосылки</x:v>
      </x:c>
      <x:c r="B1" s="6" t="str"/>
      <x:c r="C1" s="6" t="str"/>
    </x:row>
    <x:row r="2">
      <x:c r="A2" s="12" t="str">
        <x:v>Параметр</x:v>
      </x:c>
      <x:c r="B2" s="12" t="str">
        <x:v>Значение</x:v>
      </x:c>
      <x:c r="C2" s="12" t="str">
        <x:v>Комментарий</x:v>
      </x:c>
    </x:row>
    <x:row r="3">
      <x:c r="A3" s="2" t="str">
        <x:v>Premium price, ₽/мес</x:v>
      </x:c>
      <x:c r="B3" s="18" t="n">
        <x:v>349</x:v>
      </x:c>
      <x:c r="C3" s="2" t="str">
        <x:v>базовый monthly тариф</x:v>
      </x:c>
    </x:row>
    <x:row r="4">
      <x:c r="A4" s="2" t="str">
        <x:v>Student price, ₽/мес</x:v>
      </x:c>
      <x:c r="B4" s="18" t="n">
        <x:v>179</x:v>
      </x:c>
      <x:c r="C4" s="2" t="str">
        <x:v>скидочный тариф для студентов</x:v>
      </x:c>
    </x:row>
    <x:row r="5">
      <x:c r="A5" s="2" t="str">
        <x:v>Yearly price, ₽/год</x:v>
      </x:c>
      <x:c r="B5" s="18" t="n">
        <x:v>2490</x:v>
      </x:c>
      <x:c r="C5" s="2" t="str">
        <x:v>годовая подписка</x:v>
      </x:c>
    </x:row>
    <x:row r="6">
      <x:c r="A6" s="2" t="str">
        <x:v>Доля student в платящих</x:v>
      </x:c>
      <x:c r="B6" s="16" t="n">
        <x:v>0.35</x:v>
      </x:c>
      <x:c r="C6" s="2" t="str">
        <x:v>молодежная ЦА</x:v>
      </x:c>
    </x:row>
    <x:row r="7">
      <x:c r="A7" s="2" t="str">
        <x:v>Доля yearly в платящих</x:v>
      </x:c>
      <x:c r="B7" s="16" t="n">
        <x:v>0.18</x:v>
      </x:c>
      <x:c r="C7" s="2" t="str">
        <x:v>годовой апсейл</x:v>
      </x:c>
    </x:row>
    <x:row r="8">
      <x:c r="A8" s="2" t="str">
        <x:v>Средний blended ARPPU, ₽/мес</x:v>
      </x:c>
      <x:c r="B8" s="14" t="n">
        <x:f>B3*(1-B6-B7)+B4*B6+(B5/12)*B7</x:f>
        <x:v>264.03000000000003</x:v>
      </x:c>
      <x:c r="C8" s="2" t="str">
        <x:v>формула</x:v>
      </x:c>
    </x:row>
    <x:row r="9">
      <x:c r="A9" s="2" t="str">
        <x:v>Конверсия в платящего, старт</x:v>
      </x:c>
      <x:c r="B9" s="16" t="n">
        <x:v>0.055</x:v>
      </x:c>
      <x:c r="C9" s="2" t="str">
        <x:v>консервативно для MVP</x:v>
      </x:c>
    </x:row>
    <x:row r="10">
      <x:c r="A10" s="2" t="str">
        <x:v>Конверсия в платящего, 12 мес</x:v>
      </x:c>
      <x:c r="B10" s="16" t="n">
        <x:v>0.11</x:v>
      </x:c>
      <x:c r="C10" s="2" t="str">
        <x:v>рост после paywall по инсайтам</x:v>
      </x:c>
    </x:row>
    <x:row r="11">
      <x:c r="A11" s="2" t="str">
        <x:v>Lifetime, мес</x:v>
      </x:c>
      <x:c r="B11" s="14" t="n">
        <x:v>8</x:v>
      </x:c>
      <x:c r="C11" s="2" t="str">
        <x:v>средняя жизнь активного пользователя</x:v>
      </x:c>
    </x:row>
    <x:row r="12">
      <x:c r="A12" s="2" t="str">
        <x:v>CAC старт, ₽</x:v>
      </x:c>
      <x:c r="B12" s="14" t="n">
        <x:v>85</x:v>
      </x:c>
      <x:c r="C12" s="2" t="str">
        <x:v>платный трафик wellness/студенты</x:v>
      </x:c>
    </x:row>
    <x:row r="13">
      <x:c r="A13" s="2" t="str">
        <x:v>CAC целевой, ₽</x:v>
      </x:c>
      <x:c r="B13" s="14" t="n">
        <x:v>55</x:v>
      </x:c>
      <x:c r="C13" s="2" t="str">
        <x:v>после органики и рефералок</x:v>
      </x:c>
    </x:row>
    <x:row r="14">
      <x:c r="A14" s="2" t="str">
        <x:v>Активность после регистрации</x:v>
      </x:c>
      <x:c r="B14" s="16" t="n">
        <x:v>0.55</x:v>
      </x:c>
      <x:c r="C14" s="2" t="str">
        <x:v>MAU от регистраций</x:v>
      </x:c>
    </x:row>
    <x:row r="15">
      <x:c r="A15" s="2" t="str">
        <x:v>Комиссия стора</x:v>
      </x:c>
      <x:c r="B15" s="16" t="n">
        <x:v>0.15</x:v>
      </x:c>
      <x:c r="C15" s="2" t="str">
        <x:v>после small business program</x:v>
      </x:c>
    </x:row>
    <x:row r="16">
      <x:c r="A16" s="2" t="str">
        <x:v>B2B вуз/компания, ₽/активный/мес</x:v>
      </x:c>
      <x:c r="B16" s="14" t="n">
        <x:v>180</x:v>
      </x:c>
      <x:c r="C16" s="2" t="str">
        <x:v>второй слой монетизации</x:v>
      </x:c>
    </x:row>
    <x:row r="17">
      <x:c r="A17" s="2" t="str">
        <x:v>B2B активных к 12 мес</x:v>
      </x:c>
      <x:c r="B17" s="14" t="n">
        <x:v>8000</x:v>
      </x:c>
      <x:c r="C17" s="2" t="str">
        <x:v>пилоты в вузах/компаниях</x:v>
      </x:c>
    </x:row>
    <x:row r="18">
      <x:c r="A18" s="2" t="str">
        <x:v>Серверы старт, ₽/мес</x:v>
      </x:c>
      <x:c r="B18" s="14" t="n">
        <x:v>30000</x:v>
      </x:c>
      <x:c r="C18" s="2" t="str">
        <x:v>FastAPI + БД + мониторинг</x:v>
      </x:c>
    </x:row>
    <x:row r="19">
      <x:c r="A19" s="2" t="str">
        <x:v>Фиксированные расходы старт, ₽/мес</x:v>
      </x:c>
      <x:c r="B19" s="14" t="n">
        <x:v>550000</x:v>
      </x:c>
      <x:c r="C19" s="2" t="str">
        <x:v>команда MVP</x:v>
      </x:c>
    </x:row>
    <x:row r="20">
      <x:c r="A20" s="2" t="str">
        <x:v>Фиксированные расходы рост/мес</x:v>
      </x:c>
      <x:c r="B20" s="14" t="n">
        <x:v>850000</x:v>
      </x:c>
      <x:c r="C20" s="2" t="str">
        <x:v>масштабирование команды</x:v>
      </x:c>
    </x:row>
    <x:row r="21">
      <x:c r="A21" s="2" t="str">
        <x:v>Маркетинг старт, ₽/мес</x:v>
      </x:c>
      <x:c r="B21" s="14" t="n">
        <x:v>300000</x:v>
      </x:c>
      <x:c r="C21" s="2" t="str">
        <x:v>после MVP</x:v>
      </x:c>
    </x:row>
    <x:row r="22">
      <x:c r="A22" s="2" t="str">
        <x:v>Маркетинг к 12 мес, ₽/мес</x:v>
      </x:c>
      <x:c r="B22" s="14" t="n">
        <x:v>1500000</x:v>
      </x:c>
      <x:c r="C22" s="2" t="str">
        <x:v>масштабирование</x:v>
      </x:c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2" t="str">
        <x:v>Месяц</x:v>
      </x:c>
      <x:c r="B1" s="12" t="str">
        <x:v>Маркетинг, ₽</x:v>
      </x:c>
      <x:c r="C1" s="12" t="str">
        <x:v>CAC, ₽</x:v>
      </x:c>
      <x:c r="D1" s="12" t="str">
        <x:v>Новые регистрации</x:v>
      </x:c>
      <x:c r="E1" s="12" t="str">
        <x:v>MAU</x:v>
      </x:c>
      <x:c r="F1" s="12" t="str">
        <x:v>Конверсия в платящих</x:v>
      </x:c>
      <x:c r="G1" s="12" t="str">
        <x:v>Платящие</x:v>
      </x:c>
      <x:c r="H1" s="12" t="str">
        <x:v>Blended ARPPU, ₽</x:v>
      </x:c>
      <x:c r="I1" s="12" t="str">
        <x:v>B2C gross, ₽</x:v>
      </x:c>
      <x:c r="J1" s="12" t="str">
        <x:v>Store fee, ₽</x:v>
      </x:c>
      <x:c r="K1" s="12" t="str">
        <x:v>B2C net, ₽</x:v>
      </x:c>
      <x:c r="L1" s="12" t="str">
        <x:v>B2B, ₽</x:v>
      </x:c>
      <x:c r="M1" s="12" t="str">
        <x:v>Итого выручка, ₽</x:v>
      </x:c>
      <x:c r="N1" s="12" t="str">
        <x:v>Серверы, ₽</x:v>
      </x:c>
      <x:c r="O1" s="12" t="str">
        <x:v>Фикс., ₽</x:v>
      </x:c>
      <x:c r="P1" s="12" t="str">
        <x:v>Прибыль, ₽</x:v>
      </x:c>
    </x:row>
    <x:row r="2">
      <x:c r="A2" s="2" t="n">
        <x:v>1</x:v>
      </x:c>
      <x:c r="B2" s="14" t="n">
        <x:f>Assumptions!$B$21+(A2-1)*(Assumptions!$B$22-Assumptions!$B$21)/11</x:f>
        <x:v>300000</x:v>
      </x:c>
      <x:c r="C2" s="14" t="n">
        <x:f>Assumptions!$B$12+(A2-1)*(Assumptions!$B$13-Assumptions!$B$12)/11</x:f>
        <x:v>85</x:v>
      </x:c>
      <x:c r="D2" s="14" t="n">
        <x:f>B2/C2</x:f>
        <x:v>3529.4117647058824</x:v>
      </x:c>
      <x:c r="E2" s="14" t="n">
        <x:f>SUM($D$2:D2)*Assumptions!$B$14</x:f>
        <x:v>1941.1764705882356</x:v>
      </x:c>
      <x:c r="F2" s="16" t="n">
        <x:f>Assumptions!$B$9+(A2-1)*(Assumptions!$B$10-Assumptions!$B$9)/11</x:f>
        <x:v>0.055</x:v>
      </x:c>
      <x:c r="G2" s="14" t="n">
        <x:f>E2*F2</x:f>
        <x:v>106.76470588235296</x:v>
      </x:c>
      <x:c r="H2" s="14" t="n">
        <x:f>Assumptions!$B$8</x:f>
        <x:v>264.03000000000003</x:v>
      </x:c>
      <x:c r="I2" s="14" t="n">
        <x:f>G2*H2</x:f>
        <x:v>28189.085294117653</x:v>
      </x:c>
      <x:c r="J2" s="14" t="n">
        <x:f>I2*Assumptions!$B$15</x:f>
        <x:v>4228.362794117647</x:v>
      </x:c>
      <x:c r="K2" s="14" t="n">
        <x:f>I2-J2</x:f>
        <x:v>23960.722500000003</x:v>
      </x:c>
      <x:c r="L2" s="14" t="n">
        <x:f>Assumptions!$B$16*(A2/12)*Assumptions!$B$17</x:f>
        <x:v>120000</x:v>
      </x:c>
      <x:c r="M2" s="14" t="n">
        <x:f>K2+L2</x:f>
        <x:v>143960.7225</x:v>
      </x:c>
      <x:c r="N2" s="14" t="n">
        <x:f>Assumptions!$B$18*(1+0.04*(A2-1))</x:f>
        <x:v>30000</x:v>
      </x:c>
      <x:c r="O2" s="14" t="n">
        <x:f>Assumptions!$B$19+(A2-1)*(Assumptions!$B$20-Assumptions!$B$19)/11</x:f>
        <x:v>550000</x:v>
      </x:c>
      <x:c r="P2" s="14" t="n">
        <x:f>M2-B2-N2-O2</x:f>
        <x:v>-736039.2775</x:v>
      </x:c>
    </x:row>
    <x:row r="3">
      <x:c r="A3" s="2" t="n">
        <x:v>2</x:v>
      </x:c>
      <x:c r="B3" s="14" t="n">
        <x:f>Assumptions!$B$21+(A3-1)*(Assumptions!$B$22-Assumptions!$B$21)/11</x:f>
        <x:v>409090.90909090906</x:v>
      </x:c>
      <x:c r="C3" s="14" t="n">
        <x:f>Assumptions!$B$12+(A3-1)*(Assumptions!$B$13-Assumptions!$B$12)/11</x:f>
        <x:v>82.27272727272727</x:v>
      </x:c>
      <x:c r="D3" s="14" t="n">
        <x:f>B3/C3</x:f>
        <x:v>4972.375690607735</x:v>
      </x:c>
      <x:c r="E3" s="14" t="n">
        <x:f>SUM($D$2:D3)*Assumptions!$B$14</x:f>
        <x:v>4675.98310042249</x:v>
      </x:c>
      <x:c r="F3" s="16" t="n">
        <x:f>Assumptions!$B$9+(A3-1)*(Assumptions!$B$10-Assumptions!$B$9)/11</x:f>
        <x:v>0.06</x:v>
      </x:c>
      <x:c r="G3" s="14" t="n">
        <x:f>E3*F3</x:f>
        <x:v>280.5589860253494</x:v>
      </x:c>
      <x:c r="H3" s="14" t="n">
        <x:f>Assumptions!$B$8</x:f>
        <x:v>264.03000000000003</x:v>
      </x:c>
      <x:c r="I3" s="14" t="n">
        <x:f>G3*H3</x:f>
        <x:v>74075.98908027301</x:v>
      </x:c>
      <x:c r="J3" s="14" t="n">
        <x:f>I3*Assumptions!$B$15</x:f>
        <x:v>11111.39836204095</x:v>
      </x:c>
      <x:c r="K3" s="14" t="n">
        <x:f>I3-J3</x:f>
        <x:v>62964.59071823206</x:v>
      </x:c>
      <x:c r="L3" s="14" t="n">
        <x:f>Assumptions!$B$16*(A3/12)*Assumptions!$B$17</x:f>
        <x:v>240000</x:v>
      </x:c>
      <x:c r="M3" s="14" t="n">
        <x:f>K3+L3</x:f>
        <x:v>302964.59071823204</x:v>
      </x:c>
      <x:c r="N3" s="14" t="n">
        <x:f>Assumptions!$B$18*(1+0.04*(A3-1))</x:f>
        <x:v>31200</x:v>
      </x:c>
      <x:c r="O3" s="14" t="n">
        <x:f>Assumptions!$B$19+(A3-1)*(Assumptions!$B$20-Assumptions!$B$19)/11</x:f>
        <x:v>577272.7272727273</x:v>
      </x:c>
      <x:c r="P3" s="14" t="n">
        <x:f>M3-B3-N3-O3</x:f>
        <x:v>-714599.0456454044</x:v>
      </x:c>
    </x:row>
    <x:row r="4">
      <x:c r="A4" s="2" t="n">
        <x:v>3</x:v>
      </x:c>
      <x:c r="B4" s="14" t="n">
        <x:f>Assumptions!$B$21+(A4-1)*(Assumptions!$B$22-Assumptions!$B$21)/11</x:f>
        <x:v>518181.8181818182</x:v>
      </x:c>
      <x:c r="C4" s="14" t="n">
        <x:f>Assumptions!$B$12+(A4-1)*(Assumptions!$B$13-Assumptions!$B$12)/11</x:f>
        <x:v>79.54545454545455</x:v>
      </x:c>
      <x:c r="D4" s="14" t="n">
        <x:f>B4/C4</x:f>
        <x:v>6514.285714285714</x:v>
      </x:c>
      <x:c r="E4" s="14" t="n">
        <x:f>SUM($D$2:D4)*Assumptions!$B$14</x:f>
        <x:v>8258.840243279632</x:v>
      </x:c>
      <x:c r="F4" s="16" t="n">
        <x:f>Assumptions!$B$9+(A4-1)*(Assumptions!$B$10-Assumptions!$B$9)/11</x:f>
        <x:v>0.065</x:v>
      </x:c>
      <x:c r="G4" s="14" t="n">
        <x:f>E4*F4</x:f>
        <x:v>536.8246158131761</x:v>
      </x:c>
      <x:c r="H4" s="14" t="n">
        <x:f>Assumptions!$B$8</x:f>
        <x:v>264.03000000000003</x:v>
      </x:c>
      <x:c r="I4" s="14" t="n">
        <x:f>G4*H4</x:f>
        <x:v>141737.80331315292</x:v>
      </x:c>
      <x:c r="J4" s="14" t="n">
        <x:f>I4*Assumptions!$B$15</x:f>
        <x:v>21260.670496972936</x:v>
      </x:c>
      <x:c r="K4" s="14" t="n">
        <x:f>I4-J4</x:f>
        <x:v>120477.13281617999</x:v>
      </x:c>
      <x:c r="L4" s="14" t="n">
        <x:f>Assumptions!$B$16*(A4/12)*Assumptions!$B$17</x:f>
        <x:v>360000</x:v>
      </x:c>
      <x:c r="M4" s="14" t="n">
        <x:f>K4+L4</x:f>
        <x:v>480477.13281618</x:v>
      </x:c>
      <x:c r="N4" s="14" t="n">
        <x:f>Assumptions!$B$18*(1+0.04*(A4-1))</x:f>
        <x:v>32400.000000000004</x:v>
      </x:c>
      <x:c r="O4" s="14" t="n">
        <x:f>Assumptions!$B$19+(A4-1)*(Assumptions!$B$20-Assumptions!$B$19)/11</x:f>
        <x:v>604545.4545454546</x:v>
      </x:c>
      <x:c r="P4" s="14" t="n">
        <x:f>M4-B4-N4-O4</x:f>
        <x:v>-674650.1399110928</x:v>
      </x:c>
    </x:row>
    <x:row r="5">
      <x:c r="A5" s="2" t="n">
        <x:v>4</x:v>
      </x:c>
      <x:c r="B5" s="14" t="n">
        <x:f>Assumptions!$B$21+(A5-1)*(Assumptions!$B$22-Assumptions!$B$21)/11</x:f>
        <x:v>627272.7272727273</x:v>
      </x:c>
      <x:c r="C5" s="14" t="n">
        <x:f>Assumptions!$B$12+(A5-1)*(Assumptions!$B$13-Assumptions!$B$12)/11</x:f>
        <x:v>76.81818181818181</x:v>
      </x:c>
      <x:c r="D5" s="14" t="n">
        <x:f>B5/C5</x:f>
        <x:v>8165.680473372782</x:v>
      </x:c>
      <x:c r="E5" s="14" t="n">
        <x:f>SUM($D$2:D5)*Assumptions!$B$14</x:f>
        <x:v>12749.964503634665</x:v>
      </x:c>
      <x:c r="F5" s="16" t="n">
        <x:f>Assumptions!$B$9+(A5-1)*(Assumptions!$B$10-Assumptions!$B$9)/11</x:f>
        <x:v>0.07</x:v>
      </x:c>
      <x:c r="G5" s="14" t="n">
        <x:f>E5*F5</x:f>
        <x:v>892.4975152544266</x:v>
      </x:c>
      <x:c r="H5" s="14" t="n">
        <x:f>Assumptions!$B$8</x:f>
        <x:v>264.03000000000003</x:v>
      </x:c>
      <x:c r="I5" s="14" t="n">
        <x:f>G5*H5</x:f>
        <x:v>235646.11895262628</x:v>
      </x:c>
      <x:c r="J5" s="14" t="n">
        <x:f>I5*Assumptions!$B$15</x:f>
        <x:v>35346.91784289394</x:v>
      </x:c>
      <x:c r="K5" s="14" t="n">
        <x:f>I5-J5</x:f>
        <x:v>200299.20110973233</x:v>
      </x:c>
      <x:c r="L5" s="14" t="n">
        <x:f>Assumptions!$B$16*(A5/12)*Assumptions!$B$17</x:f>
        <x:v>480000</x:v>
      </x:c>
      <x:c r="M5" s="14" t="n">
        <x:f>K5+L5</x:f>
        <x:v>680299.2011097323</x:v>
      </x:c>
      <x:c r="N5" s="14" t="n">
        <x:f>Assumptions!$B$18*(1+0.04*(A5-1))</x:f>
        <x:v>33600</x:v>
      </x:c>
      <x:c r="O5" s="14" t="n">
        <x:f>Assumptions!$B$19+(A5-1)*(Assumptions!$B$20-Assumptions!$B$19)/11</x:f>
        <x:v>631818.1818181819</x:v>
      </x:c>
      <x:c r="P5" s="14" t="n">
        <x:f>M5-B5-N5-O5</x:f>
        <x:v>-612391.7079811769</x:v>
      </x:c>
    </x:row>
    <x:row r="6">
      <x:c r="A6" s="2" t="n">
        <x:v>5</x:v>
      </x:c>
      <x:c r="B6" s="14" t="n">
        <x:f>Assumptions!$B$21+(A6-1)*(Assumptions!$B$22-Assumptions!$B$21)/11</x:f>
        <x:v>736363.6363636364</x:v>
      </x:c>
      <x:c r="C6" s="14" t="n">
        <x:f>Assumptions!$B$12+(A6-1)*(Assumptions!$B$13-Assumptions!$B$12)/11</x:f>
        <x:v>74.0909090909091</x:v>
      </x:c>
      <x:c r="D6" s="14" t="n">
        <x:f>B6/C6</x:f>
        <x:v>9938.650306748466</x:v>
      </x:c>
      <x:c r="E6" s="14" t="n">
        <x:f>SUM($D$2:D6)*Assumptions!$B$14</x:f>
        <x:v>18216.222172346323</x:v>
      </x:c>
      <x:c r="F6" s="16" t="n">
        <x:f>Assumptions!$B$9+(A6-1)*(Assumptions!$B$10-Assumptions!$B$9)/11</x:f>
        <x:v>0.075</x:v>
      </x:c>
      <x:c r="G6" s="14" t="n">
        <x:f>E6*F6</x:f>
        <x:v>1366.216662925974</x:v>
      </x:c>
      <x:c r="H6" s="14" t="n">
        <x:f>Assumptions!$B$8</x:f>
        <x:v>264.03000000000003</x:v>
      </x:c>
      <x:c r="I6" s="14" t="n">
        <x:f>G6*H6</x:f>
        <x:v>360722.185512345</x:v>
      </x:c>
      <x:c r="J6" s="14" t="n">
        <x:f>I6*Assumptions!$B$15</x:f>
        <x:v>54108.327826851746</x:v>
      </x:c>
      <x:c r="K6" s="14" t="n">
        <x:f>I6-J6</x:f>
        <x:v>306613.85768549325</x:v>
      </x:c>
      <x:c r="L6" s="14" t="n">
        <x:f>Assumptions!$B$16*(A6/12)*Assumptions!$B$17</x:f>
        <x:v>600000</x:v>
      </x:c>
      <x:c r="M6" s="14" t="n">
        <x:f>K6+L6</x:f>
        <x:v>906613.8576854933</x:v>
      </x:c>
      <x:c r="N6" s="14" t="n">
        <x:f>Assumptions!$B$18*(1+0.04*(A6-1))</x:f>
        <x:v>34800</x:v>
      </x:c>
      <x:c r="O6" s="14" t="n">
        <x:f>Assumptions!$B$19+(A6-1)*(Assumptions!$B$20-Assumptions!$B$19)/11</x:f>
        <x:v>659090.9090909091</x:v>
      </x:c>
      <x:c r="P6" s="14" t="n">
        <x:f>M6-B6-N6-O6</x:f>
        <x:v>-523640.6877690521</x:v>
      </x:c>
    </x:row>
    <x:row r="7">
      <x:c r="A7" s="2" t="n">
        <x:v>6</x:v>
      </x:c>
      <x:c r="B7" s="14" t="n">
        <x:f>Assumptions!$B$21+(A7-1)*(Assumptions!$B$22-Assumptions!$B$21)/11</x:f>
        <x:v>845454.5454545454</x:v>
      </x:c>
      <x:c r="C7" s="14" t="n">
        <x:f>Assumptions!$B$12+(A7-1)*(Assumptions!$B$13-Assumptions!$B$12)/11</x:f>
        <x:v>71.36363636363636</x:v>
      </x:c>
      <x:c r="D7" s="14" t="n">
        <x:f>B7/C7</x:f>
        <x:v>11847.133757961783</x:v>
      </x:c>
      <x:c r="E7" s="14" t="n">
        <x:f>SUM($D$2:D7)*Assumptions!$B$14</x:f>
        <x:v>24732.145739225303</x:v>
      </x:c>
      <x:c r="F7" s="16" t="n">
        <x:f>Assumptions!$B$9+(A7-1)*(Assumptions!$B$10-Assumptions!$B$9)/11</x:f>
        <x:v>0.08</x:v>
      </x:c>
      <x:c r="G7" s="14" t="n">
        <x:f>E7*F7</x:f>
        <x:v>1978.5716591380244</x:v>
      </x:c>
      <x:c r="H7" s="14" t="n">
        <x:f>Assumptions!$B$8</x:f>
        <x:v>264.03000000000003</x:v>
      </x:c>
      <x:c r="I7" s="14" t="n">
        <x:f>G7*H7</x:f>
        <x:v>522402.27516221267</x:v>
      </x:c>
      <x:c r="J7" s="14" t="n">
        <x:f>I7*Assumptions!$B$15</x:f>
        <x:v>78360.34127433189</x:v>
      </x:c>
      <x:c r="K7" s="14" t="n">
        <x:f>I7-J7</x:f>
        <x:v>444041.93388788076</x:v>
      </x:c>
      <x:c r="L7" s="14" t="n">
        <x:f>Assumptions!$B$16*(A7/12)*Assumptions!$B$17</x:f>
        <x:v>720000</x:v>
      </x:c>
      <x:c r="M7" s="14" t="n">
        <x:f>K7+L7</x:f>
        <x:v>1164041.9338878808</x:v>
      </x:c>
      <x:c r="N7" s="14" t="n">
        <x:f>Assumptions!$B$18*(1+0.04*(A7-1))</x:f>
        <x:v>36000</x:v>
      </x:c>
      <x:c r="O7" s="14" t="n">
        <x:f>Assumptions!$B$19+(A7-1)*(Assumptions!$B$20-Assumptions!$B$19)/11</x:f>
        <x:v>686363.6363636364</x:v>
      </x:c>
      <x:c r="P7" s="14" t="n">
        <x:f>M7-B7-N7-O7</x:f>
        <x:v>-403776.247930301</x:v>
      </x:c>
    </x:row>
    <x:row r="8">
      <x:c r="A8" s="2" t="n">
        <x:v>7</x:v>
      </x:c>
      <x:c r="B8" s="14" t="n">
        <x:f>Assumptions!$B$21+(A8-1)*(Assumptions!$B$22-Assumptions!$B$21)/11</x:f>
        <x:v>954545.4545454546</x:v>
      </x:c>
      <x:c r="C8" s="14" t="n">
        <x:f>Assumptions!$B$12+(A8-1)*(Assumptions!$B$13-Assumptions!$B$12)/11</x:f>
        <x:v>68.63636363636364</x:v>
      </x:c>
      <x:c r="D8" s="14" t="n">
        <x:f>B8/C8</x:f>
        <x:v>13907.28476821192</x:v>
      </x:c>
      <x:c r="E8" s="14" t="n">
        <x:f>SUM($D$2:D8)*Assumptions!$B$14</x:f>
        <x:v>32381.152361741857</x:v>
      </x:c>
      <x:c r="F8" s="16" t="n">
        <x:f>Assumptions!$B$9+(A8-1)*(Assumptions!$B$10-Assumptions!$B$9)/11</x:f>
        <x:v>0.085</x:v>
      </x:c>
      <x:c r="G8" s="14" t="n">
        <x:f>E8*F8</x:f>
        <x:v>2752.397950748058</x:v>
      </x:c>
      <x:c r="H8" s="14" t="n">
        <x:f>Assumptions!$B$8</x:f>
        <x:v>264.03000000000003</x:v>
      </x:c>
      <x:c r="I8" s="14" t="n">
        <x:f>G8*H8</x:f>
        <x:v>726715.6309360098</x:v>
      </x:c>
      <x:c r="J8" s="14" t="n">
        <x:f>I8*Assumptions!$B$15</x:f>
        <x:v>109007.34464040147</x:v>
      </x:c>
      <x:c r="K8" s="14" t="n">
        <x:f>I8-J8</x:f>
        <x:v>617708.2862956084</x:v>
      </x:c>
      <x:c r="L8" s="14" t="n">
        <x:f>Assumptions!$B$16*(A8/12)*Assumptions!$B$17</x:f>
        <x:v>840000</x:v>
      </x:c>
      <x:c r="M8" s="14" t="n">
        <x:f>K8+L8</x:f>
        <x:v>1457708.2862956084</x:v>
      </x:c>
      <x:c r="N8" s="14" t="n">
        <x:f>Assumptions!$B$18*(1+0.04*(A8-1))</x:f>
        <x:v>37200</x:v>
      </x:c>
      <x:c r="O8" s="14" t="n">
        <x:f>Assumptions!$B$19+(A8-1)*(Assumptions!$B$20-Assumptions!$B$19)/11</x:f>
        <x:v>713636.3636363636</x:v>
      </x:c>
      <x:c r="P8" s="14" t="n">
        <x:f>M8-B8-N8-O8</x:f>
        <x:v>-247673.53188620985</x:v>
      </x:c>
    </x:row>
    <x:row r="9">
      <x:c r="A9" s="2" t="n">
        <x:v>8</x:v>
      </x:c>
      <x:c r="B9" s="14" t="n">
        <x:f>Assumptions!$B$21+(A9-1)*(Assumptions!$B$22-Assumptions!$B$21)/11</x:f>
        <x:v>1063636.3636363638</x:v>
      </x:c>
      <x:c r="C9" s="14" t="n">
        <x:f>Assumptions!$B$12+(A9-1)*(Assumptions!$B$13-Assumptions!$B$12)/11</x:f>
        <x:v>65.9090909090909</x:v>
      </x:c>
      <x:c r="D9" s="14" t="n">
        <x:f>B9/C9</x:f>
        <x:v>16137.93103448276</x:v>
      </x:c>
      <x:c r="E9" s="14" t="n">
        <x:f>SUM($D$2:D9)*Assumptions!$B$14</x:f>
        <x:v>41257.01443070738</x:v>
      </x:c>
      <x:c r="F9" s="16" t="n">
        <x:f>Assumptions!$B$9+(A9-1)*(Assumptions!$B$10-Assumptions!$B$9)/11</x:f>
        <x:v>0.09</x:v>
      </x:c>
      <x:c r="G9" s="14" t="n">
        <x:f>E9*F9</x:f>
        <x:v>3713.131298763664</x:v>
      </x:c>
      <x:c r="H9" s="14" t="n">
        <x:f>Assumptions!$B$8</x:f>
        <x:v>264.03000000000003</x:v>
      </x:c>
      <x:c r="I9" s="14" t="n">
        <x:f>G9*H9</x:f>
        <x:v>980378.0568125703</x:v>
      </x:c>
      <x:c r="J9" s="14" t="n">
        <x:f>I9*Assumptions!$B$15</x:f>
        <x:v>147056.70852188554</x:v>
      </x:c>
      <x:c r="K9" s="14" t="n">
        <x:f>I9-J9</x:f>
        <x:v>833321.3482906847</x:v>
      </x:c>
      <x:c r="L9" s="14" t="n">
        <x:f>Assumptions!$B$16*(A9/12)*Assumptions!$B$17</x:f>
        <x:v>960000</x:v>
      </x:c>
      <x:c r="M9" s="14" t="n">
        <x:f>K9+L9</x:f>
        <x:v>1793321.3482906846</x:v>
      </x:c>
      <x:c r="N9" s="14" t="n">
        <x:f>Assumptions!$B$18*(1+0.04*(A9-1))</x:f>
        <x:v>38400</x:v>
      </x:c>
      <x:c r="O9" s="14" t="n">
        <x:f>Assumptions!$B$19+(A9-1)*(Assumptions!$B$20-Assumptions!$B$19)/11</x:f>
        <x:v>740909.0909090909</x:v>
      </x:c>
      <x:c r="P9" s="14" t="n">
        <x:f>M9-B9-N9-O9</x:f>
        <x:v>-49624.10625477007</x:v>
      </x:c>
    </x:row>
    <x:row r="10">
      <x:c r="A10" s="2" t="n">
        <x:v>9</x:v>
      </x:c>
      <x:c r="B10" s="14" t="n">
        <x:f>Assumptions!$B$21+(A10-1)*(Assumptions!$B$22-Assumptions!$B$21)/11</x:f>
        <x:v>1172727.2727272727</x:v>
      </x:c>
      <x:c r="C10" s="14" t="n">
        <x:f>Assumptions!$B$12+(A10-1)*(Assumptions!$B$13-Assumptions!$B$12)/11</x:f>
        <x:v>63.18181818181819</x:v>
      </x:c>
      <x:c r="D10" s="14" t="n">
        <x:f>B10/C10</x:f>
        <x:v>18561.15107913669</x:v>
      </x:c>
      <x:c r="E10" s="14" t="n">
        <x:f>SUM($D$2:D10)*Assumptions!$B$14</x:f>
        <x:v>51465.64752423256</x:v>
      </x:c>
      <x:c r="F10" s="16" t="n">
        <x:f>Assumptions!$B$9+(A10-1)*(Assumptions!$B$10-Assumptions!$B$9)/11</x:f>
        <x:v>0.095</x:v>
      </x:c>
      <x:c r="G10" s="14" t="n">
        <x:f>E10*F10</x:f>
        <x:v>4889.236514802094</x:v>
      </x:c>
      <x:c r="H10" s="14" t="n">
        <x:f>Assumptions!$B$8</x:f>
        <x:v>264.03000000000003</x:v>
      </x:c>
      <x:c r="I10" s="14" t="n">
        <x:f>G10*H10</x:f>
        <x:v>1290905.1170031969</x:v>
      </x:c>
      <x:c r="J10" s="14" t="n">
        <x:f>I10*Assumptions!$B$15</x:f>
        <x:v>193635.76755047953</x:v>
      </x:c>
      <x:c r="K10" s="14" t="n">
        <x:f>I10-J10</x:f>
        <x:v>1097269.3494527172</x:v>
      </x:c>
      <x:c r="L10" s="14" t="n">
        <x:f>Assumptions!$B$16*(A10/12)*Assumptions!$B$17</x:f>
        <x:v>1080000</x:v>
      </x:c>
      <x:c r="M10" s="14" t="n">
        <x:f>K10+L10</x:f>
        <x:v>2177269.349452717</x:v>
      </x:c>
      <x:c r="N10" s="14" t="n">
        <x:f>Assumptions!$B$18*(1+0.04*(A10-1))</x:f>
        <x:v>39600</x:v>
      </x:c>
      <x:c r="O10" s="14" t="n">
        <x:f>Assumptions!$B$19+(A10-1)*(Assumptions!$B$20-Assumptions!$B$19)/11</x:f>
        <x:v>768181.8181818181</x:v>
      </x:c>
      <x:c r="P10" s="14" t="n">
        <x:f>M10-B10-N10-O10</x:f>
        <x:v>196760.2585436264</x:v>
      </x:c>
    </x:row>
    <x:row r="11">
      <x:c r="A11" s="2" t="n">
        <x:v>10</x:v>
      </x:c>
      <x:c r="B11" s="14" t="n">
        <x:f>Assumptions!$B$21+(A11-1)*(Assumptions!$B$22-Assumptions!$B$21)/11</x:f>
        <x:v>1281818.1818181816</x:v>
      </x:c>
      <x:c r="C11" s="14" t="n">
        <x:f>Assumptions!$B$12+(A11-1)*(Assumptions!$B$13-Assumptions!$B$12)/11</x:f>
        <x:v>60.45454545454545</x:v>
      </x:c>
      <x:c r="D11" s="14" t="n">
        <x:f>B11/C11</x:f>
        <x:v>21203.00751879699</x:v>
      </x:c>
      <x:c r="E11" s="14" t="n">
        <x:f>SUM($D$2:D11)*Assumptions!$B$14</x:f>
        <x:v>63127.301659570905</x:v>
      </x:c>
      <x:c r="F11" s="16" t="n">
        <x:f>Assumptions!$B$9+(A11-1)*(Assumptions!$B$10-Assumptions!$B$9)/11</x:f>
        <x:v>0.1</x:v>
      </x:c>
      <x:c r="G11" s="14" t="n">
        <x:f>E11*F11</x:f>
        <x:v>6312.730165957091</x:v>
      </x:c>
      <x:c r="H11" s="14" t="n">
        <x:f>Assumptions!$B$8</x:f>
        <x:v>264.03000000000003</x:v>
      </x:c>
      <x:c r="I11" s="14" t="n">
        <x:f>G11*H11</x:f>
        <x:v>1666750.145717651</x:v>
      </x:c>
      <x:c r="J11" s="14" t="n">
        <x:f>I11*Assumptions!$B$15</x:f>
        <x:v>250012.52185764763</x:v>
      </x:c>
      <x:c r="K11" s="14" t="n">
        <x:f>I11-J11</x:f>
        <x:v>1416737.6238600032</x:v>
      </x:c>
      <x:c r="L11" s="14" t="n">
        <x:f>Assumptions!$B$16*(A11/12)*Assumptions!$B$17</x:f>
        <x:v>1200000</x:v>
      </x:c>
      <x:c r="M11" s="14" t="n">
        <x:f>K11+L11</x:f>
        <x:v>2616737.6238600034</x:v>
      </x:c>
      <x:c r="N11" s="14" t="n">
        <x:f>Assumptions!$B$18*(1+0.04*(A11-1))</x:f>
        <x:v>40799.99999999999</x:v>
      </x:c>
      <x:c r="O11" s="14" t="n">
        <x:f>Assumptions!$B$19+(A11-1)*(Assumptions!$B$20-Assumptions!$B$19)/11</x:f>
        <x:v>795454.5454545454</x:v>
      </x:c>
      <x:c r="P11" s="14" t="n">
        <x:f>M11-B11-N11-O11</x:f>
        <x:v>498664.89658727637</x:v>
      </x:c>
    </x:row>
    <x:row r="12">
      <x:c r="A12" s="2" t="n">
        <x:v>11</x:v>
      </x:c>
      <x:c r="B12" s="14" t="n">
        <x:f>Assumptions!$B$21+(A12-1)*(Assumptions!$B$22-Assumptions!$B$21)/11</x:f>
        <x:v>1390909.0909090908</x:v>
      </x:c>
      <x:c r="C12" s="14" t="n">
        <x:f>Assumptions!$B$12+(A12-1)*(Assumptions!$B$13-Assumptions!$B$12)/11</x:f>
        <x:v>57.72727272727273</x:v>
      </x:c>
      <x:c r="D12" s="14" t="n">
        <x:f>B12/C12</x:f>
        <x:v>24094.48818897638</x:v>
      </x:c>
      <x:c r="E12" s="14" t="n">
        <x:f>SUM($D$2:D12)*Assumptions!$B$14</x:f>
        <x:v>76379.27016350791</x:v>
      </x:c>
      <x:c r="F12" s="16" t="n">
        <x:f>Assumptions!$B$9+(A12-1)*(Assumptions!$B$10-Assumptions!$B$9)/11</x:f>
        <x:v>0.10500000000000001</x:v>
      </x:c>
      <x:c r="G12" s="14" t="n">
        <x:f>E12*F12</x:f>
        <x:v>8019.823367168332</x:v>
      </x:c>
      <x:c r="H12" s="14" t="n">
        <x:f>Assumptions!$B$8</x:f>
        <x:v>264.03000000000003</x:v>
      </x:c>
      <x:c r="I12" s="14" t="n">
        <x:f>G12*H12</x:f>
        <x:v>2117473.963633455</x:v>
      </x:c>
      <x:c r="J12" s="14" t="n">
        <x:f>I12*Assumptions!$B$15</x:f>
        <x:v>317621.0945450182</x:v>
      </x:c>
      <x:c r="K12" s="14" t="n">
        <x:f>I12-J12</x:f>
        <x:v>1799852.8690884367</x:v>
      </x:c>
      <x:c r="L12" s="14" t="n">
        <x:f>Assumptions!$B$16*(A12/12)*Assumptions!$B$17</x:f>
        <x:v>1320000</x:v>
      </x:c>
      <x:c r="M12" s="14" t="n">
        <x:f>K12+L12</x:f>
        <x:v>3119852.8690884365</x:v>
      </x:c>
      <x:c r="N12" s="14" t="n">
        <x:f>Assumptions!$B$18*(1+0.04*(A12-1))</x:f>
        <x:v>42000</x:v>
      </x:c>
      <x:c r="O12" s="14" t="n">
        <x:f>Assumptions!$B$19+(A12-1)*(Assumptions!$B$20-Assumptions!$B$19)/11</x:f>
        <x:v>822727.2727272727</x:v>
      </x:c>
      <x:c r="P12" s="14" t="n">
        <x:f>M12-B12-N12-O12</x:f>
        <x:v>864216.505452073</x:v>
      </x:c>
    </x:row>
    <x:row r="13">
      <x:c r="A13" s="2" t="n">
        <x:v>12</x:v>
      </x:c>
      <x:c r="B13" s="14" t="n">
        <x:f>Assumptions!$B$21+(A13-1)*(Assumptions!$B$22-Assumptions!$B$21)/11</x:f>
        <x:v>1500000</x:v>
      </x:c>
      <x:c r="C13" s="14" t="n">
        <x:f>Assumptions!$B$12+(A13-1)*(Assumptions!$B$13-Assumptions!$B$12)/11</x:f>
        <x:v>55</x:v>
      </x:c>
      <x:c r="D13" s="14" t="n">
        <x:f>B13/C13</x:f>
        <x:v>27272.727272727272</x:v>
      </x:c>
      <x:c r="E13" s="14" t="n">
        <x:f>SUM($D$2:D13)*Assumptions!$B$14</x:f>
        <x:v>91379.2701635079</x:v>
      </x:c>
      <x:c r="F13" s="16" t="n">
        <x:f>Assumptions!$B$9+(A13-1)*(Assumptions!$B$10-Assumptions!$B$9)/11</x:f>
        <x:v>0.11</x:v>
      </x:c>
      <x:c r="G13" s="14" t="n">
        <x:f>E13*F13</x:f>
        <x:v>10051.719717985869</x:v>
      </x:c>
      <x:c r="H13" s="14" t="n">
        <x:f>Assumptions!$B$8</x:f>
        <x:v>264.03000000000003</x:v>
      </x:c>
      <x:c r="I13" s="14" t="n">
        <x:f>G13*H13</x:f>
        <x:v>2653955.5571398092</x:v>
      </x:c>
      <x:c r="J13" s="14" t="n">
        <x:f>I13*Assumptions!$B$15</x:f>
        <x:v>398093.3335709714</x:v>
      </x:c>
      <x:c r="K13" s="14" t="n">
        <x:f>I13-J13</x:f>
        <x:v>2255862.223568838</x:v>
      </x:c>
      <x:c r="L13" s="14" t="n">
        <x:f>Assumptions!$B$16*(A13/12)*Assumptions!$B$17</x:f>
        <x:v>1440000</x:v>
      </x:c>
      <x:c r="M13" s="14" t="n">
        <x:f>K13+L13</x:f>
        <x:v>3695862.223568838</x:v>
      </x:c>
      <x:c r="N13" s="14" t="n">
        <x:f>Assumptions!$B$18*(1+0.04*(A13-1))</x:f>
        <x:v>43200</x:v>
      </x:c>
      <x:c r="O13" s="14" t="n">
        <x:f>Assumptions!$B$19+(A13-1)*(Assumptions!$B$20-Assumptions!$B$19)/11</x:f>
        <x:v>850000</x:v>
      </x:c>
      <x:c r="P13" s="14" t="n">
        <x:f>M13-B13-N13-O13</x:f>
        <x:v>1302662.223568838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</x:sheetData>
  <x:conditionalFormatting sqref="P2:P13">
    <x:cfRule type="expression" dxfId="0" priority="1">
      <x:formula>P2&lt;0</x:formula>
    </x:cfRule>
    <x:cfRule type="expression" dxfId="1" priority="2">
      <x:formula>P2&gt;=0</x:formula>
    </x:cfRule>
  </x:conditionalFormatting>
  <x:pageMargins left="0.7" right="0.7" top="0.75" bottom="0.75" header="0.3" footer="0.3"/>
  <x:drawing xmlns:r="http://schemas.openxmlformats.org/officeDocument/2006/relationships" r:id="Re4590c2deac94ab4"/>
  <x:tableParts count="1">
    <x:tablePart xmlns:r="http://schemas.openxmlformats.org/officeDocument/2006/relationships" r:id="R339ae820a2e044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8" hidden="0" customWidth="1"/>
  </x:cols>
  <x:sheetData>
    <x:row r="1">
      <x:c r="A1" s="6" t="str">
        <x:v>ORCA — unit economics</x:v>
      </x:c>
      <x:c r="B1" s="6" t="str"/>
      <x:c r="C1" s="6" t="str"/>
    </x:row>
    <x:row r="2">
      <x:c r="A2" s="12" t="str">
        <x:v>Метрика</x:v>
      </x:c>
      <x:c r="B2" s="12" t="str">
        <x:v>Формула / значение</x:v>
      </x:c>
      <x:c r="C2" s="12" t="str">
        <x:v>Комментарий</x:v>
      </x:c>
    </x:row>
    <x:row r="3">
      <x:c r="A3" s="2" t="str">
        <x:v>Blended ARPPU, ₽/мес</x:v>
      </x:c>
      <x:c r="B3" s="20" t="n">
        <x:f>Assumptions!B8</x:f>
        <x:v>264.03000000000003</x:v>
      </x:c>
      <x:c r="C3" s="2" t="str">
        <x:v>с учетом student/yearly mix</x:v>
      </x:c>
    </x:row>
    <x:row r="4">
      <x:c r="A4" s="2" t="str">
        <x:v>Конверсия в платящего, старт</x:v>
      </x:c>
      <x:c r="B4" s="16" t="n">
        <x:f>Assumptions!B9</x:f>
        <x:v>0.055</x:v>
      </x:c>
      <x:c r="C4" s="2" t="str"/>
    </x:row>
    <x:row r="5">
      <x:c r="A5" s="2" t="str">
        <x:v>Конверсия в платящего, target</x:v>
      </x:c>
      <x:c r="B5" s="16" t="n">
        <x:f>Assumptions!B10</x:f>
        <x:v>0.11</x:v>
      </x:c>
      <x:c r="C5" s="2" t="str"/>
    </x:row>
    <x:row r="6">
      <x:c r="A6" s="2" t="str">
        <x:v>ARPU старт, ₽/мес</x:v>
      </x:c>
      <x:c r="B6" s="20" t="n">
        <x:f>B3*B4</x:f>
        <x:v>14.521650000000001</x:v>
      </x:c>
      <x:c r="C6" s="2" t="str"/>
    </x:row>
    <x:row r="7">
      <x:c r="A7" s="2" t="str">
        <x:v>ARPU target, ₽/мес</x:v>
      </x:c>
      <x:c r="B7" s="20" t="n">
        <x:f>B3*B5</x:f>
        <x:v>29.043300000000002</x:v>
      </x:c>
      <x:c r="C7" s="2" t="str"/>
    </x:row>
    <x:row r="8">
      <x:c r="A8" s="2" t="str">
        <x:v>Net ARPU старт, ₽/мес</x:v>
      </x:c>
      <x:c r="B8" s="20" t="n">
        <x:f>B6*(1-Assumptions!B15)</x:f>
        <x:v>12.3434025</x:v>
      </x:c>
      <x:c r="C8" s="2" t="str">
        <x:v>после комиссии стора</x:v>
      </x:c>
    </x:row>
    <x:row r="9">
      <x:c r="A9" s="2" t="str">
        <x:v>Net ARPU target, ₽/мес</x:v>
      </x:c>
      <x:c r="B9" s="20" t="n">
        <x:f>B7*(1-Assumptions!B15)</x:f>
        <x:v>24.686805</x:v>
      </x:c>
      <x:c r="C9" s="2" t="str">
        <x:v>после комиссии стора</x:v>
      </x:c>
    </x:row>
    <x:row r="10">
      <x:c r="A10" s="2" t="str">
        <x:v>Lifetime, мес</x:v>
      </x:c>
      <x:c r="B10" s="20" t="n">
        <x:f>Assumptions!B11</x:f>
        <x:v>8</x:v>
      </x:c>
      <x:c r="C10" s="2" t="str"/>
    </x:row>
    <x:row r="11">
      <x:c r="A11" s="2" t="str">
        <x:v>LTV старт, ₽</x:v>
      </x:c>
      <x:c r="B11" s="20" t="n">
        <x:f>B8*B10</x:f>
        <x:v>98.74722</x:v>
      </x:c>
      <x:c r="C11" s="2" t="str"/>
    </x:row>
    <x:row r="12">
      <x:c r="A12" s="2" t="str">
        <x:v>LTV target, ₽</x:v>
      </x:c>
      <x:c r="B12" s="20" t="n">
        <x:f>B9*B10</x:f>
        <x:v>197.49444</x:v>
      </x:c>
      <x:c r="C12" s="2" t="str"/>
    </x:row>
    <x:row r="13">
      <x:c r="A13" s="2" t="str">
        <x:v>CAC старт, ₽</x:v>
      </x:c>
      <x:c r="B13" s="20" t="n">
        <x:f>Assumptions!B12</x:f>
        <x:v>85</x:v>
      </x:c>
      <x:c r="C13" s="2" t="str"/>
    </x:row>
    <x:row r="14">
      <x:c r="A14" s="2" t="str">
        <x:v>CAC target, ₽</x:v>
      </x:c>
      <x:c r="B14" s="20" t="n">
        <x:f>Assumptions!B13</x:f>
        <x:v>55</x:v>
      </x:c>
      <x:c r="C14" s="2" t="str"/>
    </x:row>
    <x:row r="15">
      <x:c r="A15" s="2" t="str">
        <x:v>LTV/CAC старт</x:v>
      </x:c>
      <x:c r="B15" s="22" t="n">
        <x:f>B11/B13</x:f>
        <x:v>1.161732</x:v>
      </x:c>
      <x:c r="C15" s="2" t="str"/>
    </x:row>
    <x:row r="16">
      <x:c r="A16" s="2" t="str">
        <x:v>LTV/CAC target</x:v>
      </x:c>
      <x:c r="B16" s="22" t="n">
        <x:f>B12/B14</x:f>
        <x:v>3.590808</x:v>
      </x:c>
      <x:c r="C16" s="2" t="str"/>
    </x:row>
    <x:row r="17">
      <x:c r="A17" s="2" t="str">
        <x:v>Payback старт, мес</x:v>
      </x:c>
      <x:c r="B17" s="20" t="n">
        <x:f>B13/B8</x:f>
        <x:v>6.8862698109374625</x:v>
      </x:c>
      <x:c r="C17" s="2" t="str"/>
    </x:row>
    <x:row r="18">
      <x:c r="A18" s="2" t="str">
        <x:v>Payback target, мес</x:v>
      </x:c>
      <x:c r="B18" s="20" t="n">
        <x:f>B14/B9</x:f>
        <x:v>2.2279108211856498</x:v>
      </x:c>
      <x:c r="C18" s="2" t="str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</x:sheetData>
  <x:pageMargins left="0.7" right="0.7" top="0.75" bottom="0.75" header="0.3" footer="0.3"/>
  <x:tableParts count="1">
    <x:tablePart xmlns:r="http://schemas.openxmlformats.org/officeDocument/2006/relationships" r:id="R4fa126d7e4c040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</x:cols>
  <x:sheetData>
    <x:row r="1">
      <x:c r="A1" s="6" t="str">
        <x:v>ORCA — финансовое резюме</x:v>
      </x:c>
      <x:c r="B1" s="6" t="str"/>
      <x:c r="C1" s="2"/>
    </x:row>
    <x:row r="2">
      <x:c r="A2" s="12" t="str">
        <x:v>Показатель</x:v>
      </x:c>
      <x:c r="B2" s="12" t="str">
        <x:v>Значение</x:v>
      </x:c>
      <x:c r="C2" s="2"/>
    </x:row>
    <x:row r="3">
      <x:c r="A3" s="2" t="str">
        <x:v>MAU на 12 месяц</x:v>
      </x:c>
      <x:c r="B3" s="14" t="n">
        <x:f>Forecast!E13</x:f>
        <x:v>91379.2701635079</x:v>
      </x:c>
      <x:c r="C3" s="2"/>
    </x:row>
    <x:row r="4">
      <x:c r="A4" s="2" t="str">
        <x:v>Платящие на 12 месяц</x:v>
      </x:c>
      <x:c r="B4" s="14" t="n">
        <x:f>Forecast!G13</x:f>
        <x:v>10051.719717985869</x:v>
      </x:c>
      <x:c r="C4" s="2"/>
    </x:row>
    <x:row r="5">
      <x:c r="A5" s="2" t="str">
        <x:v>Месячная выручка на 12 месяц, ₽</x:v>
      </x:c>
      <x:c r="B5" s="14" t="n">
        <x:f>Forecast!M13</x:f>
        <x:v>3695862.223568838</x:v>
      </x:c>
      <x:c r="C5" s="2"/>
    </x:row>
    <x:row r="6">
      <x:c r="A6" s="2" t="str">
        <x:v>Месячная прибыль на 12 месяц, ₽</x:v>
      </x:c>
      <x:c r="B6" s="14" t="n">
        <x:f>Forecast!P13</x:f>
        <x:v>1302662.223568838</x:v>
      </x:c>
      <x:c r="C6" s="2"/>
    </x:row>
    <x:row r="7">
      <x:c r="A7" s="2" t="str">
        <x:v>Годовая выручка, ₽</x:v>
      </x:c>
      <x:c r="B7" s="14" t="n">
        <x:f>SUM(Forecast!M2:M13)</x:f>
        <x:v>18539109.139273807</x:v>
      </x:c>
      <x:c r="C7" s="2"/>
    </x:row>
    <x:row r="8">
      <x:c r="A8" s="2" t="str">
        <x:v>Годовая прибыль, ₽</x:v>
      </x:c>
      <x:c r="B8" s="14" t="n">
        <x:f>SUM(Forecast!P2:P13)</x:f>
        <x:v>-1100090.8607261926</x:v>
      </x:c>
      <x:c r="C8" s="2"/>
    </x:row>
    <x:row r="9">
      <x:c r="A9" s="2" t="str">
        <x:v>LTV/CAC старт</x:v>
      </x:c>
      <x:c r="B9" s="22" t="n">
        <x:f>'Unit Economics'!B15</x:f>
        <x:v>1.161732</x:v>
      </x:c>
      <x:c r="C9" s="2"/>
    </x:row>
    <x:row r="10">
      <x:c r="A10" s="2" t="str">
        <x:v>LTV/CAC target</x:v>
      </x:c>
      <x:c r="B10" s="22" t="n">
        <x:f>'Unit Economics'!B16</x:f>
        <x:v>3.590808</x:v>
      </x:c>
      <x:c r="C10" s="2"/>
    </x:row>
    <x:row r="11">
      <x:c r="A11" s="2" t="str">
        <x:v>Точка безубыточности, месяц</x:v>
      </x:c>
      <x:c r="B11" s="2" t="n">
        <x:f>INDEX(Forecast!A2:A13,MATCH(TRUE,Forecast!P2:P13&gt;0,0))</x:f>
        <x:v>9</x:v>
      </x:c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</x:sheetData>
  <x:pageMargins left="0.7" right="0.7" top="0.75" bottom="0.75" header="0.3" footer="0.3"/>
  <x:tableParts count="1">
    <x:tablePart xmlns:r="http://schemas.openxmlformats.org/officeDocument/2006/relationships" r:id="R946a8435200b47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</x:cols>
  <x:sheetData>
    <x:row r="1">
      <x:c r="A1" s="6" t="str">
        <x:v>Источник</x:v>
      </x:c>
      <x:c r="B1" s="6" t="str">
        <x:v>Что использовано</x:v>
      </x:c>
      <x:c r="C1" s="2"/>
    </x:row>
    <x:row r="2">
      <x:c r="A2" s="2" t="str">
        <x:v>курсач_ыыыыыы.pdf</x:v>
      </x:c>
      <x:c r="B2" s="2" t="str">
        <x:v>рынок, конкуренты, исследование пользователей, проблемные сегменты Orca</x:v>
      </x:c>
      <x:c r="C2" s="2"/>
    </x:row>
    <x:row r="3">
      <x:c r="A3" s="2" t="str">
        <x:v>Бизнес-план HSEEK (1) (3).docx</x:v>
      </x:c>
      <x:c r="B3" s="2" t="str">
        <x:v>структура бизнес-плана, логика разделов и финансового блока</x:v>
      </x:c>
      <x:c r="C3" s="2"/>
    </x:row>
    <x:row r="4">
      <x:c r="A4" s="2" t="str">
        <x:v>расчет.xlsx</x:v>
      </x:c>
      <x:c r="B4" s="2" t="str">
        <x:v>структура финансовой модели по месяцам и unit economics</x:v>
      </x:c>
      <x:c r="C4" s="2"/>
    </x:row>
    <x:row r="5">
      <x:c r="A5" s="2"/>
      <x:c r="B5" s="2"/>
      <x:c r="C5" s="2"/>
    </x:row>
    <x:row r="6">
      <x:c r="A6" s="2"/>
      <x:c r="B6" s="2"/>
      <x:c r="C6" s="2"/>
    </x:row>
    <x:row r="7">
      <x:c r="A7" s="2"/>
      <x:c r="B7" s="2"/>
      <x:c r="C7" s="2"/>
    </x:row>
    <x:row r="8">
      <x:c r="A8" s="2"/>
      <x:c r="B8" s="2"/>
      <x:c r="C8" s="2"/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</x:sheetData>
  <x:pageMargins left="0.7" right="0.7" top="0.75" bottom="0.75" header="0.3" footer="0.3"/>
</x:worksheet>
</file>